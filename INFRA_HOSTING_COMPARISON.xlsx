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비교표 요약" sheetId="1" state="visible" r:id="rId3"/>
    <sheet name="개요·신뢰성" sheetId="2" state="visible" r:id="rId4"/>
    <sheet name="인증" sheetId="3" state="visible" r:id="rId5"/>
    <sheet name="가격 추정" sheetId="4" state="visible" r:id="rId6"/>
    <sheet name="권장 결론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<sst xmlns="http://schemas.openxmlformats.org/spreadsheetml/2006/main" count="154" uniqueCount="113">
  <si>
    <r>
      <rPr>
        <b val="true"/>
        <sz val="14"/>
        <rFont val="Noto Sans CJK SC"/>
        <family val="2"/>
      </rPr>
      <t xml:space="preserve">㈜사이냅소프트 인사평가 시스템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Noto Sans CJK SC"/>
        <family val="2"/>
      </rPr>
      <t xml:space="preserve">국내 호스팅 </t>
    </r>
    <r>
      <rPr>
        <b val="true"/>
        <sz val="14"/>
        <rFont val="Arial"/>
        <family val="0"/>
        <charset val="1"/>
      </rPr>
      <t xml:space="preserve">4</t>
    </r>
    <r>
      <rPr>
        <b val="true"/>
        <sz val="14"/>
        <rFont val="Noto Sans CJK SC"/>
        <family val="2"/>
      </rPr>
      <t xml:space="preserve">사 비교</t>
    </r>
  </si>
  <si>
    <r>
      <rPr>
        <i val="true"/>
        <sz val="9"/>
        <color rgb="FF666666"/>
        <rFont val="Noto Sans CJK SC"/>
        <family val="2"/>
      </rPr>
      <t xml:space="preserve">작성</t>
    </r>
    <r>
      <rPr>
        <i val="true"/>
        <sz val="9"/>
        <color rgb="FF666666"/>
        <rFont val="Arial"/>
        <family val="0"/>
        <charset val="1"/>
      </rPr>
      <t xml:space="preserve">: 2026-05-21 | </t>
    </r>
    <r>
      <rPr>
        <i val="true"/>
        <sz val="9"/>
        <color rgb="FF666666"/>
        <rFont val="Noto Sans CJK SC"/>
        <family val="2"/>
      </rPr>
      <t xml:space="preserve">가중치 변경 시 가중점수 및 합계 자동 갱신</t>
    </r>
  </si>
  <si>
    <t xml:space="preserve">No</t>
  </si>
  <si>
    <t xml:space="preserve">평가 항목</t>
  </si>
  <si>
    <t xml:space="preserve">가중치</t>
  </si>
  <si>
    <t xml:space="preserve">NCloud</t>
  </si>
  <si>
    <t xml:space="preserve">KT Cloud</t>
  </si>
  <si>
    <t xml:space="preserve">NHN Cloud</t>
  </si>
  <si>
    <t xml:space="preserve">Kakao Cloud</t>
  </si>
  <si>
    <t xml:space="preserve">비고</t>
  </si>
  <si>
    <r>
      <rPr>
        <sz val="10"/>
        <rFont val="Noto Sans CJK SC"/>
        <family val="2"/>
      </rPr>
      <t xml:space="preserve">신뢰도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인지도</t>
    </r>
  </si>
  <si>
    <r>
      <rPr>
        <sz val="10"/>
        <rFont val="Noto Sans CJK SC"/>
        <family val="2"/>
      </rPr>
      <t xml:space="preserve">인사 데이터 민감성 고려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국내 시장 점유율 및 영업 신뢰 신호</t>
    </r>
  </si>
  <si>
    <r>
      <rPr>
        <sz val="10"/>
        <rFont val="Noto Sans CJK SC"/>
        <family val="2"/>
      </rPr>
      <t xml:space="preserve">인증 </t>
    </r>
    <r>
      <rPr>
        <sz val="10"/>
        <rFont val="Arial"/>
        <family val="0"/>
        <charset val="1"/>
      </rPr>
      <t xml:space="preserve">(ISMS-P/CSAP/KISA)</t>
    </r>
  </si>
  <si>
    <r>
      <rPr>
        <sz val="10"/>
        <rFont val="Arial"/>
        <family val="0"/>
        <charset val="1"/>
      </rPr>
      <t xml:space="preserve">ISMS-P, CSAP, ISO27001, CSA STAR </t>
    </r>
    <r>
      <rPr>
        <sz val="10"/>
        <rFont val="Noto Sans CJK SC"/>
        <family val="2"/>
      </rPr>
      <t xml:space="preserve">등</t>
    </r>
  </si>
  <si>
    <r>
      <rPr>
        <sz val="10"/>
        <rFont val="Noto Sans CJK SC"/>
        <family val="2"/>
      </rPr>
      <t xml:space="preserve">성능 </t>
    </r>
    <r>
      <rPr>
        <sz val="10"/>
        <rFont val="Arial"/>
        <family val="0"/>
        <charset val="1"/>
      </rPr>
      <t xml:space="preserve">(CPU/RAM/IOPS)</t>
    </r>
  </si>
  <si>
    <r>
      <rPr>
        <sz val="10"/>
        <rFont val="Arial"/>
        <family val="0"/>
        <charset val="1"/>
      </rPr>
      <t xml:space="preserve">CPU, IOPS, </t>
    </r>
    <r>
      <rPr>
        <sz val="10"/>
        <rFont val="Noto Sans CJK SC"/>
        <family val="2"/>
      </rPr>
      <t xml:space="preserve">네트워크 대역폭</t>
    </r>
  </si>
  <si>
    <r>
      <rPr>
        <sz val="10"/>
        <rFont val="Noto Sans CJK SC"/>
        <family val="2"/>
      </rPr>
      <t xml:space="preserve">가격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 운영비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</si>
  <si>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사이냅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명 기준 추정 월 운영비</t>
    </r>
  </si>
  <si>
    <t xml:space="preserve">국내 데이터센터</t>
  </si>
  <si>
    <r>
      <rPr>
        <sz val="10"/>
        <rFont val="Noto Sans CJK SC"/>
        <family val="2"/>
      </rPr>
      <t xml:space="preserve">모두 국내 </t>
    </r>
    <r>
      <rPr>
        <sz val="10"/>
        <rFont val="Arial"/>
        <family val="0"/>
        <charset val="1"/>
      </rPr>
      <t xml:space="preserve">DC </t>
    </r>
    <r>
      <rPr>
        <sz val="10"/>
        <rFont val="Noto Sans CJK SC"/>
        <family val="2"/>
      </rPr>
      <t xml:space="preserve">위치 동일</t>
    </r>
  </si>
  <si>
    <r>
      <rPr>
        <sz val="10"/>
        <rFont val="Arial"/>
        <family val="0"/>
        <charset val="1"/>
      </rPr>
      <t xml:space="preserve">PostgreSQL </t>
    </r>
    <r>
      <rPr>
        <sz val="10"/>
        <rFont val="Noto Sans CJK SC"/>
        <family val="2"/>
      </rPr>
      <t xml:space="preserve">매니지드 품질</t>
    </r>
  </si>
  <si>
    <r>
      <rPr>
        <sz val="10"/>
        <rFont val="Noto Sans CJK SC"/>
        <family val="2"/>
      </rPr>
      <t xml:space="preserve">백업</t>
    </r>
    <r>
      <rPr>
        <sz val="10"/>
        <rFont val="Arial"/>
        <family val="0"/>
        <charset val="1"/>
      </rPr>
      <t xml:space="preserve">, HA, Read Replica </t>
    </r>
    <r>
      <rPr>
        <sz val="10"/>
        <rFont val="Noto Sans CJK SC"/>
        <family val="2"/>
      </rPr>
      <t xml:space="preserve">등</t>
    </r>
  </si>
  <si>
    <r>
      <rPr>
        <sz val="10"/>
        <rFont val="Arial"/>
        <family val="0"/>
        <charset val="1"/>
      </rPr>
      <t xml:space="preserve">Object Storage </t>
    </r>
    <r>
      <rPr>
        <sz val="10"/>
        <rFont val="Noto Sans CJK SC"/>
        <family val="2"/>
      </rPr>
      <t xml:space="preserve">품질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가격</t>
    </r>
  </si>
  <si>
    <r>
      <rPr>
        <sz val="10"/>
        <rFont val="Arial"/>
        <family val="0"/>
        <charset val="1"/>
      </rPr>
      <t xml:space="preserve">S3 </t>
    </r>
    <r>
      <rPr>
        <sz val="10"/>
        <rFont val="Noto Sans CJK SC"/>
        <family val="2"/>
      </rPr>
      <t xml:space="preserve">호환성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가격</t>
    </r>
  </si>
  <si>
    <t xml:space="preserve">운영 편의성</t>
  </si>
  <si>
    <r>
      <rPr>
        <sz val="10"/>
        <rFont val="Noto Sans CJK SC"/>
        <family val="2"/>
      </rPr>
      <t xml:space="preserve">콘솔 </t>
    </r>
    <r>
      <rPr>
        <sz val="10"/>
        <rFont val="Arial"/>
        <family val="0"/>
        <charset val="1"/>
      </rPr>
      <t xml:space="preserve">UI, </t>
    </r>
    <r>
      <rPr>
        <sz val="10"/>
        <rFont val="Noto Sans CJK SC"/>
        <family val="2"/>
      </rPr>
      <t xml:space="preserve">한국어 지원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기술 지원</t>
    </r>
  </si>
  <si>
    <r>
      <rPr>
        <b val="true"/>
        <sz val="11"/>
        <rFont val="Noto Sans CJK SC"/>
        <family val="2"/>
      </rPr>
      <t xml:space="preserve">가중 점수 합계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가중치</t>
    </r>
    <r>
      <rPr>
        <b val="true"/>
        <sz val="11"/>
        <rFont val="Arial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점수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</si>
  <si>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만점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가중치 합계 </t>
    </r>
    <r>
      <rPr>
        <sz val="10"/>
        <rFont val="Arial"/>
        <family val="0"/>
        <charset val="1"/>
      </rPr>
      <t xml:space="preserve">× 5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)</t>
    </r>
  </si>
  <si>
    <t xml:space="preserve">달성률</t>
  </si>
  <si>
    <t xml:space="preserve">순위</t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</si>
  <si>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</si>
  <si>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노란 배경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사용자 조정 가능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가중치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</si>
  <si>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파란 글씨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사용자 조정 가능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점수</t>
    </r>
    <r>
      <rPr>
        <sz val="10"/>
        <color rgb="FF0000FF"/>
        <rFont val="Arial"/>
        <family val="0"/>
        <charset val="1"/>
      </rPr>
      <t xml:space="preserve">, 5</t>
    </r>
    <r>
      <rPr>
        <sz val="10"/>
        <color rgb="FF0000FF"/>
        <rFont val="Noto Sans CJK SC"/>
        <family val="2"/>
      </rPr>
      <t xml:space="preserve">점 만점</t>
    </r>
    <r>
      <rPr>
        <sz val="10"/>
        <color rgb="FF0000FF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</si>
  <si>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검은 글씨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녹색 배경</t>
    </r>
    <r>
      <rPr>
        <b val="true"/>
        <sz val="11"/>
        <rFont val="Arial"/>
        <family val="0"/>
        <charset val="1"/>
      </rPr>
      <t xml:space="preserve">): </t>
    </r>
    <r>
      <rPr>
        <b val="true"/>
        <sz val="11"/>
        <rFont val="Noto Sans CJK SC"/>
        <family val="2"/>
      </rPr>
      <t xml:space="preserve">자동 계산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</si>
  <si>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점수 기준</t>
    </r>
    <r>
      <rPr>
        <sz val="10"/>
        <rFont val="Arial"/>
        <family val="0"/>
        <charset val="1"/>
      </rPr>
      <t xml:space="preserve">: 5=</t>
    </r>
    <r>
      <rPr>
        <sz val="10"/>
        <rFont val="Noto Sans CJK SC"/>
        <family val="2"/>
      </rPr>
      <t xml:space="preserve">매우 우수</t>
    </r>
    <r>
      <rPr>
        <sz val="10"/>
        <rFont val="Arial"/>
        <family val="0"/>
        <charset val="1"/>
      </rPr>
      <t xml:space="preserve">, 4=</t>
    </r>
    <r>
      <rPr>
        <sz val="10"/>
        <rFont val="Noto Sans CJK SC"/>
        <family val="2"/>
      </rPr>
      <t xml:space="preserve">우수</t>
    </r>
    <r>
      <rPr>
        <sz val="10"/>
        <rFont val="Arial"/>
        <family val="0"/>
        <charset val="1"/>
      </rPr>
      <t xml:space="preserve">, 3=</t>
    </r>
    <r>
      <rPr>
        <sz val="10"/>
        <rFont val="Noto Sans CJK SC"/>
        <family val="2"/>
      </rPr>
      <t xml:space="preserve">양호</t>
    </r>
    <r>
      <rPr>
        <sz val="10"/>
        <rFont val="Arial"/>
        <family val="0"/>
        <charset val="1"/>
      </rPr>
      <t xml:space="preserve">, 2=</t>
    </r>
    <r>
      <rPr>
        <sz val="10"/>
        <rFont val="Noto Sans CJK SC"/>
        <family val="2"/>
      </rPr>
      <t xml:space="preserve">미흡</t>
    </r>
    <r>
      <rPr>
        <sz val="10"/>
        <rFont val="Arial"/>
        <family val="0"/>
        <charset val="1"/>
      </rPr>
      <t xml:space="preserve">, 1=</t>
    </r>
    <r>
      <rPr>
        <sz val="10"/>
        <rFont val="Noto Sans CJK SC"/>
        <family val="2"/>
      </rPr>
      <t xml:space="preserve">열위</t>
    </r>
  </si>
  <si>
    <t xml:space="preserve">사용자 결정</t>
  </si>
  <si>
    <r>
      <rPr>
        <b val="true"/>
        <sz val="11"/>
        <rFont val="Noto Sans CJK SC"/>
        <family val="2"/>
      </rPr>
      <t xml:space="preserve">선정</t>
    </r>
    <r>
      <rPr>
        <b val="true"/>
        <sz val="11"/>
        <rFont val="Arial"/>
        <family val="0"/>
        <charset val="1"/>
      </rPr>
      <t xml:space="preserve">: NCloud (Naver Cloud Platform)</t>
    </r>
  </si>
  <si>
    <r>
      <rPr>
        <sz val="10"/>
        <rFont val="Noto Sans CJK SC"/>
        <family val="2"/>
      </rPr>
      <t xml:space="preserve">근거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인사 데이터 민감성 고려 시 신뢰도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인지도가 핵심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 시장 점유율과 인증 수준이 영업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신뢰 면에서 가격 프리미엄을 상회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</si>
  <si>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개요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신뢰성 상세 비교</t>
    </r>
  </si>
  <si>
    <t xml:space="preserve">항목</t>
  </si>
  <si>
    <r>
      <rPr>
        <sz val="10"/>
        <rFont val="Noto Sans CJK SC"/>
        <family val="2"/>
      </rPr>
      <t xml:space="preserve">시장점유율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국내 </t>
    </r>
    <r>
      <rPr>
        <sz val="10"/>
        <rFont val="Arial"/>
        <family val="0"/>
        <charset val="1"/>
      </rPr>
      <t xml:space="preserve">IaaS)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</si>
  <si>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 </t>
    </r>
    <r>
      <rPr>
        <sz val="10"/>
        <rFont val="Arial"/>
        <family val="0"/>
        <charset val="1"/>
      </rPr>
      <t xml:space="preserve">(~20%)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</si>
  <si>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위 </t>
    </r>
    <r>
      <rPr>
        <sz val="10"/>
        <rFont val="Arial"/>
        <family val="0"/>
        <charset val="1"/>
      </rPr>
      <t xml:space="preserve">(~13%)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</si>
  <si>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위 </t>
    </r>
    <r>
      <rPr>
        <sz val="10"/>
        <rFont val="Arial"/>
        <family val="0"/>
        <charset val="1"/>
      </rPr>
      <t xml:space="preserve">(~10%)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</si>
  <si>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위 미만</t>
    </r>
  </si>
  <si>
    <t xml:space="preserve">데이터센터</t>
  </si>
  <si>
    <r>
      <rPr>
        <sz val="10"/>
        <rFont val="Noto Sans CJK SC"/>
        <family val="2"/>
      </rPr>
      <t xml:space="preserve">춘천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세종</t>
    </r>
  </si>
  <si>
    <r>
      <rPr>
        <sz val="10"/>
        <rFont val="Noto Sans CJK SC"/>
        <family val="2"/>
      </rPr>
      <t xml:space="preserve">김해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천안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분당</t>
    </r>
  </si>
  <si>
    <r>
      <rPr>
        <sz val="10"/>
        <rFont val="Noto Sans CJK SC"/>
        <family val="2"/>
      </rPr>
      <t xml:space="preserve">판교 </t>
    </r>
    <r>
      <rPr>
        <sz val="10"/>
        <rFont val="Arial"/>
        <family val="0"/>
        <charset val="1"/>
      </rPr>
      <t xml:space="preserve">NCC1, </t>
    </r>
    <r>
      <rPr>
        <sz val="10"/>
        <rFont val="Noto Sans CJK SC"/>
        <family val="2"/>
      </rPr>
      <t xml:space="preserve">광주 </t>
    </r>
    <r>
      <rPr>
        <sz val="10"/>
        <rFont val="Arial"/>
        <family val="0"/>
        <charset val="1"/>
      </rPr>
      <t xml:space="preserve">AI DC</t>
    </r>
  </si>
  <si>
    <r>
      <rPr>
        <sz val="10"/>
        <rFont val="Noto Sans CJK SC"/>
        <family val="2"/>
      </rPr>
      <t xml:space="preserve">안산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메인</t>
    </r>
    <r>
      <rPr>
        <sz val="10"/>
        <rFont val="Arial"/>
        <family val="0"/>
        <charset val="1"/>
      </rPr>
      <t xml:space="preserve">)</t>
    </r>
  </si>
  <si>
    <t xml:space="preserve">사업 안정성</t>
  </si>
  <si>
    <r>
      <rPr>
        <sz val="10"/>
        <rFont val="Noto Sans CJK SC"/>
        <family val="2"/>
      </rPr>
      <t xml:space="preserve">높음 </t>
    </r>
    <r>
      <rPr>
        <sz val="10"/>
        <rFont val="Arial"/>
        <family val="0"/>
        <charset val="1"/>
      </rPr>
      <t xml:space="preserve">(Naver </t>
    </r>
    <r>
      <rPr>
        <sz val="10"/>
        <rFont val="Noto Sans CJK SC"/>
        <family val="2"/>
      </rPr>
      <t xml:space="preserve">본사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</si>
  <si>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매우 높음 </t>
    </r>
    <r>
      <rPr>
        <sz val="10"/>
        <rFont val="Arial"/>
        <family val="0"/>
        <charset val="1"/>
      </rPr>
      <t xml:space="preserve">(KT </t>
    </r>
    <r>
      <rPr>
        <sz val="10"/>
        <rFont val="Noto Sans CJK SC"/>
        <family val="2"/>
      </rPr>
      <t xml:space="preserve">통신사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</si>
  <si>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높음 </t>
    </r>
    <r>
      <rPr>
        <sz val="10"/>
        <rFont val="Arial"/>
        <family val="0"/>
        <charset val="1"/>
      </rPr>
      <t xml:space="preserve">(NHN </t>
    </r>
    <r>
      <rPr>
        <sz val="10"/>
        <rFont val="Noto Sans CJK SC"/>
        <family val="2"/>
      </rPr>
      <t xml:space="preserve">안정 매출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</si>
  <si>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후발주자</t>
    </r>
    <r>
      <rPr>
        <sz val="10"/>
        <rFont val="Arial"/>
        <family val="0"/>
        <charset val="1"/>
      </rPr>
      <t xml:space="preserve">)</t>
    </r>
  </si>
  <si>
    <t xml:space="preserve">주요 고객사</t>
  </si>
  <si>
    <r>
      <rPr>
        <sz val="10"/>
        <rFont val="Noto Sans CJK SC"/>
        <family val="2"/>
      </rPr>
      <t xml:space="preserve">라인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네이버페이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다수 공공</t>
    </r>
  </si>
  <si>
    <r>
      <rPr>
        <sz val="10"/>
        <rFont val="Noto Sans CJK SC"/>
        <family val="2"/>
      </rPr>
      <t xml:space="preserve">공공기관 다수</t>
    </r>
    <r>
      <rPr>
        <sz val="10"/>
        <rFont val="Arial"/>
        <family val="0"/>
        <charset val="1"/>
      </rPr>
      <t xml:space="preserve">, KT</t>
    </r>
    <r>
      <rPr>
        <sz val="10"/>
        <rFont val="Noto Sans CJK SC"/>
        <family val="2"/>
      </rPr>
      <t xml:space="preserve">그룹</t>
    </r>
  </si>
  <si>
    <r>
      <rPr>
        <sz val="10"/>
        <rFont val="Arial"/>
        <family val="0"/>
        <charset val="1"/>
      </rPr>
      <t xml:space="preserve">NHN</t>
    </r>
    <r>
      <rPr>
        <sz val="10"/>
        <rFont val="Noto Sans CJK SC"/>
        <family val="2"/>
      </rPr>
      <t xml:space="preserve">게임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금융사 다수</t>
    </r>
  </si>
  <si>
    <t xml:space="preserve">카카오 그룹</t>
  </si>
  <si>
    <r>
      <rPr>
        <sz val="10"/>
        <rFont val="Noto Sans CJK SC"/>
        <family val="2"/>
      </rPr>
      <t xml:space="preserve">주요 레퍼런스 </t>
    </r>
    <r>
      <rPr>
        <sz val="10"/>
        <rFont val="Arial"/>
        <family val="0"/>
        <charset val="1"/>
      </rPr>
      <t xml:space="preserve">(B2B)</t>
    </r>
  </si>
  <si>
    <r>
      <rPr>
        <sz val="10"/>
        <rFont val="Noto Sans CJK SC"/>
        <family val="2"/>
      </rPr>
      <t xml:space="preserve">삼성</t>
    </r>
    <r>
      <rPr>
        <sz val="10"/>
        <rFont val="Arial"/>
        <family val="0"/>
        <charset val="1"/>
      </rPr>
      <t xml:space="preserve">, LG, </t>
    </r>
    <r>
      <rPr>
        <sz val="10"/>
        <rFont val="Noto Sans CJK SC"/>
        <family val="2"/>
      </rPr>
      <t xml:space="preserve">현대 등 대기업 다수</t>
    </r>
  </si>
  <si>
    <r>
      <rPr>
        <sz val="10"/>
        <rFont val="Noto Sans CJK SC"/>
        <family val="2"/>
      </rPr>
      <t xml:space="preserve">공공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금융 강세</t>
    </r>
  </si>
  <si>
    <r>
      <rPr>
        <sz val="10"/>
        <rFont val="Noto Sans CJK SC"/>
        <family val="2"/>
      </rPr>
      <t xml:space="preserve">게임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금융권 강세</t>
    </r>
  </si>
  <si>
    <t xml:space="preserve">카카오 계열사 위주</t>
  </si>
  <si>
    <r>
      <rPr>
        <sz val="10"/>
        <rFont val="Noto Sans CJK SC"/>
        <family val="2"/>
      </rPr>
      <t xml:space="preserve">인지도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민감 데이터 영역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</si>
  <si>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가장 신뢰받음</t>
    </r>
    <r>
      <rPr>
        <sz val="10"/>
        <rFont val="Arial"/>
        <family val="0"/>
        <charset val="1"/>
      </rPr>
      <t xml:space="preserve">)</t>
    </r>
  </si>
  <si>
    <t xml:space="preserve">높음</t>
  </si>
  <si>
    <t xml:space="preserve">중간</t>
  </si>
  <si>
    <r>
      <rPr>
        <b val="true"/>
        <sz val="14"/>
        <rFont val="Noto Sans CJK SC"/>
        <family val="2"/>
      </rPr>
      <t xml:space="preserve">인증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규제 상세 비교</t>
    </r>
  </si>
  <si>
    <t xml:space="preserve">인증</t>
  </si>
  <si>
    <t xml:space="preserve">ISMS-P</t>
  </si>
  <si>
    <t xml:space="preserve">보유</t>
  </si>
  <si>
    <t xml:space="preserve">CSAP IaaS</t>
  </si>
  <si>
    <r>
      <rPr>
        <sz val="10"/>
        <rFont val="Noto Sans CJK SC"/>
        <family val="2"/>
      </rPr>
      <t xml:space="preserve">국내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 인증</t>
    </r>
  </si>
  <si>
    <t xml:space="preserve">CSAP SaaS</t>
  </si>
  <si>
    <t xml:space="preserve">ISO 27001</t>
  </si>
  <si>
    <r>
      <rPr>
        <sz val="10"/>
        <rFont val="Arial"/>
        <family val="0"/>
        <charset val="1"/>
      </rPr>
      <t xml:space="preserve">ISO 27017 (</t>
    </r>
    <r>
      <rPr>
        <sz val="10"/>
        <rFont val="Noto Sans CJK SC"/>
        <family val="2"/>
      </rPr>
      <t xml:space="preserve">클라우드 보안</t>
    </r>
    <r>
      <rPr>
        <sz val="10"/>
        <rFont val="Arial"/>
        <family val="0"/>
        <charset val="1"/>
      </rPr>
      <t xml:space="preserve">)</t>
    </r>
  </si>
  <si>
    <t xml:space="preserve">부분</t>
  </si>
  <si>
    <t xml:space="preserve">SOC 1/2/3</t>
  </si>
  <si>
    <t xml:space="preserve">CSA STAR</t>
  </si>
  <si>
    <t xml:space="preserve">국내 최초</t>
  </si>
  <si>
    <r>
      <rPr>
        <sz val="10"/>
        <rFont val="Noto Sans CJK SC"/>
        <family val="2"/>
      </rPr>
      <t xml:space="preserve">금융보안원 </t>
    </r>
    <r>
      <rPr>
        <sz val="10"/>
        <rFont val="Arial"/>
        <family val="0"/>
        <charset val="1"/>
      </rPr>
      <t xml:space="preserve">CSP </t>
    </r>
    <r>
      <rPr>
        <sz val="10"/>
        <rFont val="Noto Sans CJK SC"/>
        <family val="2"/>
      </rPr>
      <t xml:space="preserve">평가</t>
    </r>
  </si>
  <si>
    <t xml:space="preserve">통과</t>
  </si>
  <si>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만족</t>
    </r>
  </si>
  <si>
    <r>
      <rPr>
        <b val="true"/>
        <sz val="14"/>
        <rFont val="Noto Sans CJK SC"/>
        <family val="2"/>
      </rPr>
      <t xml:space="preserve">월 운영비 추정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사이냅 </t>
    </r>
    <r>
      <rPr>
        <b val="true"/>
        <sz val="14"/>
        <rFont val="Arial"/>
        <family val="0"/>
        <charset val="1"/>
      </rPr>
      <t xml:space="preserve">100</t>
    </r>
    <r>
      <rPr>
        <b val="true"/>
        <sz val="14"/>
        <rFont val="Noto Sans CJK SC"/>
        <family val="2"/>
      </rPr>
      <t xml:space="preserve">명 기준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부가세 별도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</si>
  <si>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가정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웹 </t>
    </r>
    <r>
      <rPr>
        <i val="true"/>
        <sz val="9"/>
        <rFont val="Arial"/>
        <family val="0"/>
        <charset val="1"/>
      </rPr>
      <t xml:space="preserve">2vCPU/4GB, DB HA(2vCPU/8GB×2), DB </t>
    </r>
    <r>
      <rPr>
        <i val="true"/>
        <sz val="9"/>
        <rFont val="Noto Sans CJK SC"/>
        <family val="2"/>
      </rPr>
      <t xml:space="preserve">스토리지 </t>
    </r>
    <r>
      <rPr>
        <i val="true"/>
        <sz val="9"/>
        <rFont val="Arial"/>
        <family val="0"/>
        <charset val="1"/>
      </rPr>
      <t xml:space="preserve">50GB, Object Storage 50GB, </t>
    </r>
    <r>
      <rPr>
        <i val="true"/>
        <sz val="9"/>
        <rFont val="Noto Sans CJK SC"/>
        <family val="2"/>
      </rPr>
      <t xml:space="preserve">트래픽 </t>
    </r>
    <r>
      <rPr>
        <i val="true"/>
        <sz val="9"/>
        <rFont val="Arial"/>
        <family val="0"/>
        <charset val="1"/>
      </rPr>
      <t xml:space="preserve">100GB/</t>
    </r>
    <r>
      <rPr>
        <i val="true"/>
        <sz val="9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</si>
  <si>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웹 서버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</si>
  <si>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서버 </t>
    </r>
    <r>
      <rPr>
        <sz val="10"/>
        <rFont val="Arial"/>
        <family val="0"/>
        <charset val="1"/>
      </rPr>
      <t xml:space="preserve">HA 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</si>
  <si>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스토리지 </t>
    </r>
    <r>
      <rPr>
        <sz val="10"/>
        <rFont val="Arial"/>
        <family val="0"/>
        <charset val="1"/>
      </rPr>
      <t xml:space="preserve">50GB 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</si>
  <si>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Object Storage 50GB 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</si>
  <si>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트래픽 </t>
    </r>
    <r>
      <rPr>
        <sz val="10"/>
        <rFont val="Arial"/>
        <family val="0"/>
        <charset val="1"/>
      </rPr>
      <t xml:space="preserve">100GB 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</si>
  <si>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t xml:space="preserve">월 합계 추정</t>
  </si>
  <si>
    <t xml:space="preserve">연간 합계 추정</t>
  </si>
  <si>
    <r>
      <rPr>
        <b val="true"/>
        <sz val="11"/>
        <rFont val="Arial"/>
        <family val="0"/>
        <charset val="1"/>
      </rPr>
      <t xml:space="preserve">NCloud </t>
    </r>
    <r>
      <rPr>
        <b val="true"/>
        <sz val="11"/>
        <rFont val="Noto Sans CJK SC"/>
        <family val="2"/>
      </rPr>
      <t xml:space="preserve">대비 월 차액</t>
    </r>
  </si>
  <si>
    <t xml:space="preserve">기준</t>
  </si>
  <si>
    <r>
      <rPr>
        <b val="true"/>
        <sz val="11"/>
        <rFont val="Arial"/>
        <family val="0"/>
        <charset val="1"/>
      </rPr>
      <t xml:space="preserve">NCloud </t>
    </r>
    <r>
      <rPr>
        <b val="true"/>
        <sz val="11"/>
        <rFont val="Noto Sans CJK SC"/>
        <family val="2"/>
      </rPr>
      <t xml:space="preserve">대비 차이 </t>
    </r>
    <r>
      <rPr>
        <b val="true"/>
        <sz val="11"/>
        <rFont val="Arial"/>
        <family val="0"/>
        <charset val="1"/>
      </rPr>
      <t xml:space="preserve">(%)</t>
    </r>
  </si>
  <si>
    <t xml:space="preserve">주의 사항</t>
  </si>
  <si>
    <r>
      <rPr>
        <sz val="10"/>
        <rFont val="Arial"/>
        <family val="0"/>
        <charset val="1"/>
      </rPr>
      <t xml:space="preserve">1) </t>
    </r>
    <r>
      <rPr>
        <sz val="10"/>
        <rFont val="Noto Sans CJK SC"/>
        <family val="2"/>
      </rPr>
      <t xml:space="preserve">위 가격은 각 사 공식 표준 요금 기준 추정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도입 시 </t>
    </r>
    <r>
      <rPr>
        <sz val="10"/>
        <rFont val="Arial"/>
        <family val="0"/>
        <charset val="1"/>
      </rPr>
      <t xml:space="preserve">MSP </t>
    </r>
    <r>
      <rPr>
        <sz val="10"/>
        <rFont val="Noto Sans CJK SC"/>
        <family val="2"/>
      </rPr>
      <t xml:space="preserve">파트너 할인 </t>
    </r>
    <r>
      <rPr>
        <sz val="10"/>
        <rFont val="Arial"/>
        <family val="0"/>
        <charset val="1"/>
      </rPr>
      <t xml:space="preserve">5~15% </t>
    </r>
    <r>
      <rPr>
        <sz val="10"/>
        <rFont val="Noto Sans CJK SC"/>
        <family val="2"/>
      </rPr>
      <t xml:space="preserve">가능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</si>
  <si>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2) 1</t>
    </r>
    <r>
      <rPr>
        <sz val="10"/>
        <rFont val="Noto Sans CJK SC"/>
        <family val="2"/>
      </rPr>
      <t xml:space="preserve">년 약정 할인 </t>
    </r>
    <r>
      <rPr>
        <sz val="10"/>
        <rFont val="Arial"/>
        <family val="0"/>
        <charset val="1"/>
      </rPr>
      <t xml:space="preserve">10~20% </t>
    </r>
    <r>
      <rPr>
        <sz val="10"/>
        <rFont val="Noto Sans CJK SC"/>
        <family val="2"/>
      </rPr>
      <t xml:space="preserve">가능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월단위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안정화 후 약정 전환 권장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</si>
  <si>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3) </t>
    </r>
    <r>
      <rPr>
        <sz val="10"/>
        <rFont val="Noto Sans CJK SC"/>
        <family val="2"/>
      </rPr>
      <t xml:space="preserve">정식 견적은 영업 채널 또는 </t>
    </r>
    <r>
      <rPr>
        <sz val="10"/>
        <rFont val="Arial"/>
        <family val="0"/>
        <charset val="1"/>
      </rPr>
      <t xml:space="preserve">MSP </t>
    </r>
    <r>
      <rPr>
        <sz val="10"/>
        <rFont val="Noto Sans CJK SC"/>
        <family val="2"/>
      </rPr>
      <t xml:space="preserve">파트너 채널로 별도 확인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</si>
  <si>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4) </t>
    </r>
    <r>
      <rPr>
        <sz val="10"/>
        <rFont val="Noto Sans CJK SC"/>
        <family val="2"/>
      </rPr>
      <t xml:space="preserve">가격 </t>
    </r>
    <r>
      <rPr>
        <sz val="10"/>
        <rFont val="Arial"/>
        <family val="0"/>
        <charset val="1"/>
      </rPr>
      <t xml:space="preserve">= 5</t>
    </r>
    <r>
      <rPr>
        <sz val="10"/>
        <rFont val="Noto Sans CJK SC"/>
        <family val="2"/>
      </rPr>
      <t xml:space="preserve">점 만점 평가에서 </t>
    </r>
    <r>
      <rPr>
        <sz val="10"/>
        <rFont val="Arial"/>
        <family val="0"/>
        <charset val="1"/>
      </rPr>
      <t xml:space="preserve">NCloud 3.5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, NHN 4.5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, Kakao 5.0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저렴할수록 높음</t>
    </r>
    <r>
      <rPr>
        <sz val="10"/>
        <rFont val="Arial"/>
        <family val="0"/>
        <charset val="1"/>
      </rPr>
      <t xml:space="preserve">)</t>
    </r>
  </si>
  <si>
    <t xml:space="preserve">권장 결론 및 의사결정 근거</t>
  </si>
  <si>
    <t xml:space="preserve">선정</t>
  </si>
  <si>
    <t xml:space="preserve">NCloud (Naver Cloud Platform)</t>
  </si>
  <si>
    <t xml:space="preserve">선정 근거</t>
  </si>
  <si>
    <r>
      <rPr>
        <sz val="10"/>
        <rFont val="Noto Sans CJK SC"/>
        <family val="2"/>
      </rPr>
      <t xml:space="preserve">인사 데이터 민감성 고려 시 신뢰도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인지도가 핵심 평가 요소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국내 시장 점유율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인증 수준 최상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네이버페이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삼성</t>
    </r>
    <r>
      <rPr>
        <sz val="10"/>
        <rFont val="Arial"/>
        <family val="0"/>
        <charset val="1"/>
      </rPr>
      <t xml:space="preserve">·LG·</t>
    </r>
    <r>
      <rPr>
        <sz val="10"/>
        <rFont val="Noto Sans CJK SC"/>
        <family val="2"/>
      </rPr>
      <t xml:space="preserve">현대 등 대기업 다수 레퍼런스 보유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가격 프리미엄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 약 ₩</t>
    </r>
    <r>
      <rPr>
        <sz val="10"/>
        <rFont val="Arial"/>
        <family val="0"/>
        <charset val="1"/>
      </rPr>
      <t xml:space="preserve">70,000)</t>
    </r>
    <r>
      <rPr>
        <sz val="10"/>
        <rFont val="Noto Sans CJK SC"/>
        <family val="2"/>
      </rPr>
      <t xml:space="preserve">을 상쇄할 만한 영업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신뢰 가치 제공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처음부터 최종 선택지로 시작하여 향후 마이그레이션 비용 회피</t>
    </r>
    <r>
      <rPr>
        <sz val="10"/>
        <rFont val="Arial"/>
        <family val="0"/>
        <charset val="1"/>
      </rPr>
      <t xml:space="preserve">.</t>
    </r>
  </si>
  <si>
    <t xml:space="preserve">주요 강점</t>
  </si>
  <si>
    <r>
      <rPr>
        <sz val="10"/>
        <rFont val="Arial"/>
        <family val="0"/>
        <charset val="1"/>
      </rPr>
      <t xml:space="preserve">1) </t>
    </r>
    <r>
      <rPr>
        <sz val="10"/>
        <rFont val="Noto Sans CJK SC"/>
        <family val="2"/>
      </rPr>
      <t xml:space="preserve">시장 점유율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인사 데이터 영역 신뢰 최고
</t>
    </r>
    <r>
      <rPr>
        <sz val="10"/>
        <rFont val="Arial"/>
        <family val="0"/>
        <charset val="1"/>
      </rPr>
      <t xml:space="preserve">2) </t>
    </r>
    <r>
      <rPr>
        <sz val="10"/>
        <rFont val="Noto Sans CJK SC"/>
        <family val="2"/>
      </rPr>
      <t xml:space="preserve">인증 가장 풍부 </t>
    </r>
    <r>
      <rPr>
        <sz val="10"/>
        <rFont val="Arial"/>
        <family val="0"/>
        <charset val="1"/>
      </rPr>
      <t xml:space="preserve">(ISMS-P/CSAP/CSA STAR </t>
    </r>
    <r>
      <rPr>
        <sz val="10"/>
        <rFont val="Noto Sans CJK SC"/>
        <family val="2"/>
      </rPr>
      <t xml:space="preserve">국내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 다수</t>
    </r>
    <r>
      <rPr>
        <sz val="10"/>
        <rFont val="Arial"/>
        <family val="0"/>
        <charset val="1"/>
      </rPr>
      <t xml:space="preserve">)
3) </t>
    </r>
    <r>
      <rPr>
        <sz val="10"/>
        <rFont val="Noto Sans CJK SC"/>
        <family val="2"/>
      </rPr>
      <t xml:space="preserve">성능 매우 우수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안정성 평판 최고
</t>
    </r>
    <r>
      <rPr>
        <sz val="10"/>
        <rFont val="Arial"/>
        <family val="0"/>
        <charset val="1"/>
      </rPr>
      <t xml:space="preserve">4) Cloud DB for PostgreSQL </t>
    </r>
    <r>
      <rPr>
        <sz val="10"/>
        <rFont val="Noto Sans CJK SC"/>
        <family val="2"/>
      </rPr>
      <t xml:space="preserve">매니지드 서비스 안정
</t>
    </r>
    <r>
      <rPr>
        <sz val="10"/>
        <rFont val="Arial"/>
        <family val="0"/>
        <charset val="1"/>
      </rPr>
      <t xml:space="preserve">5) </t>
    </r>
    <r>
      <rPr>
        <sz val="10"/>
        <rFont val="Noto Sans CJK SC"/>
        <family val="2"/>
      </rPr>
      <t xml:space="preserve">한국어 콘솔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기술지원 완성도 최고</t>
    </r>
  </si>
  <si>
    <t xml:space="preserve">주요 약점</t>
  </si>
  <si>
    <r>
      <rPr>
        <sz val="10"/>
        <rFont val="Arial"/>
        <family val="0"/>
        <charset val="1"/>
      </rPr>
      <t xml:space="preserve">1) </t>
    </r>
    <r>
      <rPr>
        <sz val="10"/>
        <rFont val="Noto Sans CJK SC"/>
        <family val="2"/>
      </rPr>
      <t xml:space="preserve">가격 프리미엄 </t>
    </r>
    <r>
      <rPr>
        <sz val="10"/>
        <rFont val="Arial"/>
        <family val="0"/>
        <charset val="1"/>
      </rPr>
      <t xml:space="preserve">(NHN Cloud </t>
    </r>
    <r>
      <rPr>
        <sz val="10"/>
        <rFont val="Noto Sans CJK SC"/>
        <family val="2"/>
      </rPr>
      <t xml:space="preserve">대비 약 </t>
    </r>
    <r>
      <rPr>
        <sz val="10"/>
        <rFont val="Arial"/>
        <family val="0"/>
        <charset val="1"/>
      </rPr>
      <t xml:space="preserve">18%, KT Cloud </t>
    </r>
    <r>
      <rPr>
        <sz val="10"/>
        <rFont val="Noto Sans CJK SC"/>
        <family val="2"/>
      </rPr>
      <t xml:space="preserve">대비 약 </t>
    </r>
    <r>
      <rPr>
        <sz val="10"/>
        <rFont val="Arial"/>
        <family val="0"/>
        <charset val="1"/>
      </rPr>
      <t xml:space="preserve">15% </t>
    </r>
    <r>
      <rPr>
        <sz val="10"/>
        <rFont val="Noto Sans CJK SC"/>
        <family val="2"/>
      </rPr>
      <t xml:space="preserve">더 비쌈</t>
    </r>
    <r>
      <rPr>
        <sz val="10"/>
        <rFont val="Arial"/>
        <family val="0"/>
        <charset val="1"/>
      </rPr>
      <t xml:space="preserve">)
2) </t>
    </r>
    <r>
      <rPr>
        <sz val="10"/>
        <rFont val="Noto Sans CJK SC"/>
        <family val="2"/>
      </rPr>
      <t xml:space="preserve">매니지드 </t>
    </r>
    <r>
      <rPr>
        <sz val="10"/>
        <rFont val="Arial"/>
        <family val="0"/>
        <charset val="1"/>
      </rPr>
      <t xml:space="preserve">PostgreSQL </t>
    </r>
    <r>
      <rPr>
        <sz val="10"/>
        <rFont val="Noto Sans CJK SC"/>
        <family val="2"/>
      </rPr>
      <t xml:space="preserve">백업 보관 최대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(NHN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1825</t>
    </r>
    <r>
      <rPr>
        <sz val="10"/>
        <rFont val="Noto Sans CJK SC"/>
        <family val="2"/>
      </rPr>
      <t xml:space="preserve">일에 비해 짧음 → 별도 백업 스크립트 필요</t>
    </r>
    <r>
      <rPr>
        <sz val="10"/>
        <rFont val="Arial"/>
        <family val="0"/>
        <charset val="1"/>
      </rPr>
      <t xml:space="preserve">)</t>
    </r>
  </si>
  <si>
    <t xml:space="preserve">다음 단계</t>
  </si>
  <si>
    <r>
      <rPr>
        <sz val="10"/>
        <rFont val="Arial"/>
        <family val="0"/>
        <charset val="1"/>
      </rPr>
      <t xml:space="preserve">1) NCloud </t>
    </r>
    <r>
      <rPr>
        <sz val="10"/>
        <rFont val="Noto Sans CJK SC"/>
        <family val="2"/>
      </rPr>
      <t xml:space="preserve">무료 평가판 신청 </t>
    </r>
    <r>
      <rPr>
        <sz val="10"/>
        <rFont val="Arial"/>
        <family val="0"/>
        <charset val="1"/>
      </rPr>
      <t xml:space="preserve">(7~30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
2) </t>
    </r>
    <r>
      <rPr>
        <sz val="10"/>
        <rFont val="Noto Sans CJK SC"/>
        <family val="2"/>
      </rPr>
      <t xml:space="preserve">테스트 인스턴스에서 </t>
    </r>
    <r>
      <rPr>
        <sz val="10"/>
        <rFont val="Arial"/>
        <family val="0"/>
        <charset val="1"/>
      </rPr>
      <t xml:space="preserve">PROMPT 50 V3 </t>
    </r>
    <r>
      <rPr>
        <sz val="10"/>
        <rFont val="Noto Sans CJK SC"/>
        <family val="2"/>
      </rPr>
      <t xml:space="preserve">시나리오 마이그레이션 검증
</t>
    </r>
    <r>
      <rPr>
        <sz val="10"/>
        <rFont val="Arial"/>
        <family val="0"/>
        <charset val="1"/>
      </rPr>
      <t xml:space="preserve">3) MSP </t>
    </r>
    <r>
      <rPr>
        <sz val="10"/>
        <rFont val="Noto Sans CJK SC"/>
        <family val="2"/>
      </rPr>
      <t xml:space="preserve">파트너 채널 통해 정식 견적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약정 할인 협상
</t>
    </r>
    <r>
      <rPr>
        <sz val="10"/>
        <rFont val="Arial"/>
        <family val="0"/>
        <charset val="1"/>
      </rPr>
      <t xml:space="preserve">4) INFRA-2D NCloud </t>
    </r>
    <r>
      <rPr>
        <sz val="10"/>
        <rFont val="Noto Sans CJK SC"/>
        <family val="2"/>
      </rPr>
      <t xml:space="preserve">환경 셋업 </t>
    </r>
    <r>
      <rPr>
        <sz val="10"/>
        <rFont val="Arial"/>
        <family val="0"/>
        <charset val="1"/>
      </rPr>
      <t xml:space="preserve">PROMPT </t>
    </r>
    <r>
      <rPr>
        <sz val="10"/>
        <rFont val="Noto Sans CJK SC"/>
        <family val="2"/>
      </rPr>
      <t xml:space="preserve">작성 및 실행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</si>
</sst>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%"/>
    <numFmt numFmtId="167" formatCode="#,##0"/>
    <numFmt numFmtId="168" formatCode="\₩#,##0"/>
    <numFmt numFmtId="169" formatCode="\₩#,##0;[RED]&quot;₩-&quot;#,##0;\-"/>
    <numFmt numFmtId="170" formatCode="0.0%;[RED]\-0.0%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color rgb="FF0000FF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7" min="4" style="0" width="12"/>
    <col collapsed="false" customWidth="true" hidden="false" outlineLevel="0" max="8" min="8" style="0" width="5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customFormat="false" ht="30" hidden="false" customHeight="true" outlineLevel="0" collapsed="false">
      <c r="A5" s="5" t="n">
        <v>1</v>
      </c>
      <c r="B5" s="6" t="s">
        <v>10</v>
      </c>
      <c r="C5" s="7" t="n">
        <v>2</v>
      </c>
      <c r="D5" s="8" t="n">
        <v>5</v>
      </c>
      <c r="E5" s="8" t="n">
        <v>4</v>
      </c>
      <c r="F5" s="8" t="n">
        <v>4</v>
      </c>
      <c r="G5" s="8" t="n">
        <v>3</v>
      </c>
      <c r="H5" s="6" t="s">
        <v>11</v>
      </c>
    </row>
    <row r="6" customFormat="false" ht="30" hidden="false" customHeight="true" outlineLevel="0" collapsed="false">
      <c r="A6" s="5" t="n">
        <v>2</v>
      </c>
      <c r="B6" s="6" t="s">
        <v>12</v>
      </c>
      <c r="C6" s="7" t="n">
        <v>2</v>
      </c>
      <c r="D6" s="8" t="n">
        <v>5</v>
      </c>
      <c r="E6" s="8" t="n">
        <v>4.5</v>
      </c>
      <c r="F6" s="8" t="n">
        <v>4.5</v>
      </c>
      <c r="G6" s="8" t="n">
        <v>3.5</v>
      </c>
      <c r="H6" s="9" t="s">
        <v>13</v>
      </c>
    </row>
    <row r="7" customFormat="false" ht="30" hidden="false" customHeight="true" outlineLevel="0" collapsed="false">
      <c r="A7" s="5" t="n">
        <v>3</v>
      </c>
      <c r="B7" s="6" t="s">
        <v>14</v>
      </c>
      <c r="C7" s="7" t="n">
        <v>2</v>
      </c>
      <c r="D7" s="8" t="n">
        <v>4.5</v>
      </c>
      <c r="E7" s="8" t="n">
        <v>4</v>
      </c>
      <c r="F7" s="8" t="n">
        <v>4</v>
      </c>
      <c r="G7" s="8" t="n">
        <v>3.5</v>
      </c>
      <c r="H7" s="9" t="s">
        <v>15</v>
      </c>
    </row>
    <row r="8" customFormat="false" ht="30" hidden="false" customHeight="true" outlineLevel="0" collapsed="false">
      <c r="A8" s="5" t="n">
        <v>4</v>
      </c>
      <c r="B8" s="6" t="s">
        <v>16</v>
      </c>
      <c r="C8" s="7" t="n">
        <v>2</v>
      </c>
      <c r="D8" s="8" t="n">
        <v>3.5</v>
      </c>
      <c r="E8" s="8" t="n">
        <v>4</v>
      </c>
      <c r="F8" s="8" t="n">
        <v>4.5</v>
      </c>
      <c r="G8" s="8" t="n">
        <v>5</v>
      </c>
      <c r="H8" s="6" t="s">
        <v>17</v>
      </c>
    </row>
    <row r="9" customFormat="false" ht="30" hidden="false" customHeight="true" outlineLevel="0" collapsed="false">
      <c r="A9" s="5" t="n">
        <v>5</v>
      </c>
      <c r="B9" s="6" t="s">
        <v>18</v>
      </c>
      <c r="C9" s="7" t="n">
        <v>1</v>
      </c>
      <c r="D9" s="8" t="n">
        <v>5</v>
      </c>
      <c r="E9" s="8" t="n">
        <v>5</v>
      </c>
      <c r="F9" s="8" t="n">
        <v>5</v>
      </c>
      <c r="G9" s="8" t="n">
        <v>5</v>
      </c>
      <c r="H9" s="6" t="s">
        <v>19</v>
      </c>
    </row>
    <row r="10" customFormat="false" ht="30" hidden="false" customHeight="true" outlineLevel="0" collapsed="false">
      <c r="A10" s="5" t="n">
        <v>6</v>
      </c>
      <c r="B10" s="9" t="s">
        <v>20</v>
      </c>
      <c r="C10" s="7" t="n">
        <v>1</v>
      </c>
      <c r="D10" s="8" t="n">
        <v>4</v>
      </c>
      <c r="E10" s="8" t="n">
        <v>3</v>
      </c>
      <c r="F10" s="8" t="n">
        <v>4.5</v>
      </c>
      <c r="G10" s="8" t="n">
        <v>3.5</v>
      </c>
      <c r="H10" s="6" t="s">
        <v>21</v>
      </c>
    </row>
    <row r="11" customFormat="false" ht="30" hidden="false" customHeight="true" outlineLevel="0" collapsed="false">
      <c r="A11" s="5" t="n">
        <v>7</v>
      </c>
      <c r="B11" s="9" t="s">
        <v>22</v>
      </c>
      <c r="C11" s="7" t="n">
        <v>1</v>
      </c>
      <c r="D11" s="8" t="n">
        <v>4.5</v>
      </c>
      <c r="E11" s="8" t="n">
        <v>3</v>
      </c>
      <c r="F11" s="8" t="n">
        <v>4.5</v>
      </c>
      <c r="G11" s="8" t="n">
        <v>4</v>
      </c>
      <c r="H11" s="9" t="s">
        <v>23</v>
      </c>
    </row>
    <row r="12" customFormat="false" ht="30" hidden="false" customHeight="true" outlineLevel="0" collapsed="false">
      <c r="A12" s="5" t="n">
        <v>8</v>
      </c>
      <c r="B12" s="6" t="s">
        <v>24</v>
      </c>
      <c r="C12" s="7" t="n">
        <v>1</v>
      </c>
      <c r="D12" s="8" t="n">
        <v>4.5</v>
      </c>
      <c r="E12" s="8" t="n">
        <v>4</v>
      </c>
      <c r="F12" s="8" t="n">
        <v>4.5</v>
      </c>
      <c r="G12" s="8" t="n">
        <v>3.5</v>
      </c>
      <c r="H12" s="6" t="s">
        <v>25</v>
      </c>
    </row>
    <row r="13" customFormat="false" ht="24.75" hidden="false" customHeight="true" outlineLevel="0" collapsed="false">
      <c r="A13" s="10"/>
      <c r="B13" s="11" t="s">
        <v>26</v>
      </c>
      <c r="C13" s="12" t="n">
        <f aca="false">SUM(C5:C12)</f>
        <v>12</v>
      </c>
      <c r="D13" s="13" t="n">
        <f aca="false">SUMPRODUCT($C$5:$C$12,D5:D12)</f>
        <v>54</v>
      </c>
      <c r="E13" s="13" t="n">
        <f aca="false">SUMPRODUCT($C$5:$C$12,E5:E12)</f>
        <v>48</v>
      </c>
      <c r="F13" s="13" t="n">
        <f aca="false">SUMPRODUCT($C$5:$C$12,F5:F12)</f>
        <v>52.5</v>
      </c>
      <c r="G13" s="13" t="n">
        <f aca="false">SUMPRODUCT($C$5:$C$12,G5:G12)</f>
        <v>46</v>
      </c>
      <c r="H13" s="10"/>
    </row>
    <row r="14" customFormat="false" ht="15" hidden="false" customHeight="false" outlineLevel="0" collapsed="false">
      <c r="A14" s="14"/>
      <c r="B14" s="6" t="s">
        <v>27</v>
      </c>
      <c r="C14" s="5" t="n">
        <f aca="false">SUM(C5:C12)*5</f>
        <v>60</v>
      </c>
      <c r="D14" s="5" t="n">
        <f aca="false">SUM($C$5:$C$12)*5</f>
        <v>60</v>
      </c>
      <c r="E14" s="5" t="n">
        <f aca="false">SUM($C$5:$C$12)*5</f>
        <v>60</v>
      </c>
      <c r="F14" s="5" t="n">
        <f aca="false">SUM($C$5:$C$12)*5</f>
        <v>60</v>
      </c>
      <c r="G14" s="5" t="n">
        <f aca="false">SUM($C$5:$C$12)*5</f>
        <v>60</v>
      </c>
      <c r="H14" s="14"/>
    </row>
    <row r="15" customFormat="false" ht="21.75" hidden="false" customHeight="true" outlineLevel="0" collapsed="false">
      <c r="A15" s="14"/>
      <c r="B15" s="11" t="s">
        <v>28</v>
      </c>
      <c r="C15" s="14"/>
      <c r="D15" s="15" t="n">
        <f aca="false">D13/D14</f>
        <v>0.9</v>
      </c>
      <c r="E15" s="15" t="n">
        <f aca="false">E13/E14</f>
        <v>0.8</v>
      </c>
      <c r="F15" s="15" t="n">
        <f aca="false">F13/F14</f>
        <v>0.875</v>
      </c>
      <c r="G15" s="15" t="n">
        <f aca="false">G13/G14</f>
        <v>0.766666666666667</v>
      </c>
      <c r="H15" s="14"/>
    </row>
    <row r="16" customFormat="false" ht="21.75" hidden="false" customHeight="true" outlineLevel="0" collapsed="false">
      <c r="A16" s="14"/>
      <c r="B16" s="11" t="s">
        <v>29</v>
      </c>
      <c r="C16" s="14"/>
      <c r="D16" s="13" t="n">
        <f aca="false">RANK(D13,$D$13:$G$13)</f>
        <v>1</v>
      </c>
      <c r="E16" s="13" t="n">
        <f aca="false">RANK(E13,$D$13:$G$13)</f>
        <v>3</v>
      </c>
      <c r="F16" s="13" t="n">
        <f aca="false">RANK(F13,$D$13:$G$13)</f>
        <v>2</v>
      </c>
      <c r="G16" s="13" t="n">
        <f aca="false">RANK(G13,$D$13:$G$13)</f>
        <v>4</v>
      </c>
      <c r="H16" s="14"/>
    </row>
    <row r="18" customFormat="false" ht="15" hidden="false" customHeight="false" outlineLevel="0" collapsed="false">
      <c r="B18" s="16" t="s">
        <v>30</v>
      </c>
    </row>
    <row r="19" customFormat="false" ht="15" hidden="false" customHeight="false" outlineLevel="0" collapsed="false">
      <c r="B19" s="17" t="s">
        <v>31</v>
      </c>
    </row>
    <row r="20" customFormat="false" ht="15" hidden="false" customHeight="false" outlineLevel="0" collapsed="false">
      <c r="B20" s="17" t="s">
        <v>32</v>
      </c>
    </row>
    <row r="21" customFormat="false" ht="17.15" hidden="false" customHeight="false" outlineLevel="0" collapsed="false">
      <c r="B21" s="18" t="s">
        <v>33</v>
      </c>
    </row>
    <row r="22" customFormat="false" ht="15" hidden="false" customHeight="false" outlineLevel="0" collapsed="false">
      <c r="B22" s="19" t="s">
        <v>34</v>
      </c>
    </row>
    <row r="24" customFormat="false" ht="15" hidden="false" customHeight="false" outlineLevel="0" collapsed="false">
      <c r="B24" s="16" t="s">
        <v>35</v>
      </c>
    </row>
    <row r="25" customFormat="false" ht="17.15" hidden="false" customHeight="false" outlineLevel="0" collapsed="false">
      <c r="B25" s="18" t="s">
        <v>36</v>
      </c>
    </row>
    <row r="26" customFormat="false" ht="29.85" hidden="false" customHeight="true" outlineLevel="0" collapsed="false">
      <c r="B26" s="20" t="s">
        <v>37</v>
      </c>
      <c r="C26" s="20"/>
      <c r="D26" s="20"/>
      <c r="E26" s="20"/>
      <c r="F26" s="20"/>
      <c r="G26" s="20"/>
    </row>
  </sheetData>
  <mergeCells count="3">
    <mergeCell ref="A1:H1"/>
    <mergeCell ref="A2:H2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21.6" hidden="false" customHeight="false" outlineLevel="0" collapsed="false">
      <c r="A1" s="21" t="s">
        <v>38</v>
      </c>
      <c r="B1" s="21"/>
      <c r="C1" s="21"/>
      <c r="D1" s="21"/>
      <c r="E1" s="21"/>
    </row>
    <row r="3" customFormat="false" ht="30" hidden="false" customHeight="true" outlineLevel="0" collapsed="false">
      <c r="A3" s="4" t="s">
        <v>39</v>
      </c>
      <c r="B3" s="3" t="s">
        <v>5</v>
      </c>
      <c r="C3" s="3" t="s">
        <v>6</v>
      </c>
      <c r="D3" s="3" t="s">
        <v>7</v>
      </c>
      <c r="E3" s="3" t="s">
        <v>8</v>
      </c>
    </row>
    <row r="4" customFormat="false" ht="30" hidden="false" customHeight="true" outlineLevel="0" collapsed="false">
      <c r="A4" s="6" t="s">
        <v>40</v>
      </c>
      <c r="B4" s="9" t="s">
        <v>41</v>
      </c>
      <c r="C4" s="9" t="s">
        <v>42</v>
      </c>
      <c r="D4" s="9" t="s">
        <v>43</v>
      </c>
      <c r="E4" s="9" t="s">
        <v>44</v>
      </c>
    </row>
    <row r="5" customFormat="false" ht="30" hidden="false" customHeight="true" outlineLevel="0" collapsed="false">
      <c r="A5" s="6" t="s">
        <v>45</v>
      </c>
      <c r="B5" s="6" t="s">
        <v>46</v>
      </c>
      <c r="C5" s="6" t="s">
        <v>47</v>
      </c>
      <c r="D5" s="6" t="s">
        <v>48</v>
      </c>
      <c r="E5" s="6" t="s">
        <v>49</v>
      </c>
    </row>
    <row r="6" customFormat="false" ht="30" hidden="false" customHeight="true" outlineLevel="0" collapsed="false">
      <c r="A6" s="6" t="s">
        <v>50</v>
      </c>
      <c r="B6" s="6" t="s">
        <v>51</v>
      </c>
      <c r="C6" s="6" t="s">
        <v>52</v>
      </c>
      <c r="D6" s="6" t="s">
        <v>53</v>
      </c>
      <c r="E6" s="6" t="s">
        <v>54</v>
      </c>
    </row>
    <row r="7" customFormat="false" ht="30" hidden="false" customHeight="true" outlineLevel="0" collapsed="false">
      <c r="A7" s="6" t="s">
        <v>55</v>
      </c>
      <c r="B7" s="6" t="s">
        <v>56</v>
      </c>
      <c r="C7" s="6" t="s">
        <v>57</v>
      </c>
      <c r="D7" s="9" t="s">
        <v>58</v>
      </c>
      <c r="E7" s="6" t="s">
        <v>59</v>
      </c>
    </row>
    <row r="8" customFormat="false" ht="30" hidden="false" customHeight="true" outlineLevel="0" collapsed="false">
      <c r="A8" s="6" t="s">
        <v>60</v>
      </c>
      <c r="B8" s="6" t="s">
        <v>61</v>
      </c>
      <c r="C8" s="6" t="s">
        <v>62</v>
      </c>
      <c r="D8" s="6" t="s">
        <v>63</v>
      </c>
      <c r="E8" s="6" t="s">
        <v>64</v>
      </c>
    </row>
    <row r="9" customFormat="false" ht="30" hidden="false" customHeight="true" outlineLevel="0" collapsed="false">
      <c r="A9" s="6" t="s">
        <v>65</v>
      </c>
      <c r="B9" s="6" t="s">
        <v>66</v>
      </c>
      <c r="C9" s="6" t="s">
        <v>67</v>
      </c>
      <c r="D9" s="6" t="s">
        <v>67</v>
      </c>
      <c r="E9" s="6" t="s">
        <v>68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21.6" hidden="false" customHeight="false" outlineLevel="0" collapsed="false">
      <c r="A1" s="21" t="s">
        <v>69</v>
      </c>
      <c r="B1" s="21"/>
      <c r="C1" s="21"/>
      <c r="D1" s="21"/>
      <c r="E1" s="21"/>
    </row>
    <row r="3" customFormat="false" ht="21.75" hidden="false" customHeight="true" outlineLevel="0" collapsed="false">
      <c r="A3" s="4" t="s">
        <v>70</v>
      </c>
      <c r="B3" s="3" t="s">
        <v>5</v>
      </c>
      <c r="C3" s="3" t="s">
        <v>6</v>
      </c>
      <c r="D3" s="3" t="s">
        <v>7</v>
      </c>
      <c r="E3" s="3" t="s">
        <v>8</v>
      </c>
    </row>
    <row r="4" customFormat="false" ht="21.75" hidden="false" customHeight="true" outlineLevel="0" collapsed="false">
      <c r="A4" s="5" t="s">
        <v>71</v>
      </c>
      <c r="B4" s="22" t="s">
        <v>72</v>
      </c>
      <c r="C4" s="22" t="s">
        <v>72</v>
      </c>
      <c r="D4" s="22" t="s">
        <v>72</v>
      </c>
      <c r="E4" s="22" t="s">
        <v>72</v>
      </c>
    </row>
    <row r="5" customFormat="false" ht="21.75" hidden="false" customHeight="true" outlineLevel="0" collapsed="false">
      <c r="A5" s="5" t="s">
        <v>73</v>
      </c>
      <c r="B5" s="22" t="s">
        <v>74</v>
      </c>
      <c r="C5" s="22" t="s">
        <v>72</v>
      </c>
      <c r="D5" s="22" t="s">
        <v>72</v>
      </c>
      <c r="E5" s="22" t="s">
        <v>72</v>
      </c>
    </row>
    <row r="6" customFormat="false" ht="21.75" hidden="false" customHeight="true" outlineLevel="0" collapsed="false">
      <c r="A6" s="5" t="s">
        <v>75</v>
      </c>
      <c r="B6" s="22" t="s">
        <v>74</v>
      </c>
      <c r="C6" s="22" t="s">
        <v>72</v>
      </c>
      <c r="D6" s="22" t="s">
        <v>72</v>
      </c>
      <c r="E6" s="22" t="s">
        <v>72</v>
      </c>
    </row>
    <row r="7" customFormat="false" ht="21.75" hidden="false" customHeight="true" outlineLevel="0" collapsed="false">
      <c r="A7" s="5" t="s">
        <v>76</v>
      </c>
      <c r="B7" s="22" t="s">
        <v>72</v>
      </c>
      <c r="C7" s="22" t="s">
        <v>72</v>
      </c>
      <c r="D7" s="22" t="s">
        <v>72</v>
      </c>
      <c r="E7" s="22" t="s">
        <v>72</v>
      </c>
    </row>
    <row r="8" customFormat="false" ht="21.75" hidden="false" customHeight="true" outlineLevel="0" collapsed="false">
      <c r="A8" s="5" t="s">
        <v>77</v>
      </c>
      <c r="B8" s="22" t="s">
        <v>72</v>
      </c>
      <c r="C8" s="22" t="s">
        <v>72</v>
      </c>
      <c r="D8" s="22" t="s">
        <v>72</v>
      </c>
      <c r="E8" s="22" t="s">
        <v>78</v>
      </c>
    </row>
    <row r="9" customFormat="false" ht="21.75" hidden="false" customHeight="true" outlineLevel="0" collapsed="false">
      <c r="A9" s="5" t="s">
        <v>79</v>
      </c>
      <c r="B9" s="22" t="s">
        <v>72</v>
      </c>
      <c r="C9" s="22" t="s">
        <v>72</v>
      </c>
      <c r="D9" s="22" t="s">
        <v>72</v>
      </c>
      <c r="E9" s="22" t="s">
        <v>78</v>
      </c>
    </row>
    <row r="10" customFormat="false" ht="21.75" hidden="false" customHeight="true" outlineLevel="0" collapsed="false">
      <c r="A10" s="5" t="s">
        <v>80</v>
      </c>
      <c r="B10" s="22" t="s">
        <v>81</v>
      </c>
      <c r="C10" s="22" t="s">
        <v>72</v>
      </c>
      <c r="D10" s="22" t="s">
        <v>78</v>
      </c>
      <c r="E10" s="22" t="s">
        <v>78</v>
      </c>
    </row>
    <row r="11" customFormat="false" ht="21.75" hidden="false" customHeight="true" outlineLevel="0" collapsed="false">
      <c r="A11" s="22" t="s">
        <v>82</v>
      </c>
      <c r="B11" s="22" t="s">
        <v>83</v>
      </c>
      <c r="C11" s="22" t="s">
        <v>83</v>
      </c>
      <c r="D11" s="5" t="s">
        <v>84</v>
      </c>
      <c r="E11" s="22" t="s">
        <v>78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21.6" hidden="false" customHeight="false" outlineLevel="0" collapsed="false">
      <c r="A1" s="21" t="s">
        <v>85</v>
      </c>
      <c r="B1" s="21"/>
      <c r="C1" s="21"/>
      <c r="D1" s="21"/>
      <c r="E1" s="21"/>
    </row>
    <row r="2" customFormat="false" ht="14.15" hidden="false" customHeight="false" outlineLevel="0" collapsed="false">
      <c r="A2" s="23" t="s">
        <v>86</v>
      </c>
      <c r="B2" s="23"/>
      <c r="C2" s="23"/>
      <c r="D2" s="23"/>
      <c r="E2" s="23"/>
    </row>
    <row r="4" customFormat="false" ht="15" hidden="false" customHeight="false" outlineLevel="0" collapsed="false">
      <c r="A4" s="4" t="s">
        <v>39</v>
      </c>
      <c r="B4" s="3" t="s">
        <v>5</v>
      </c>
      <c r="C4" s="3" t="s">
        <v>6</v>
      </c>
      <c r="D4" s="3" t="s">
        <v>7</v>
      </c>
      <c r="E4" s="3" t="s">
        <v>8</v>
      </c>
    </row>
    <row r="5" customFormat="false" ht="15" hidden="false" customHeight="false" outlineLevel="0" collapsed="false">
      <c r="A5" s="6" t="s">
        <v>87</v>
      </c>
      <c r="B5" s="24" t="n">
        <v>60000</v>
      </c>
      <c r="C5" s="24" t="n">
        <v>55000</v>
      </c>
      <c r="D5" s="24" t="n">
        <v>50000</v>
      </c>
      <c r="E5" s="24" t="n">
        <v>45000</v>
      </c>
    </row>
    <row r="6" customFormat="false" ht="15" hidden="false" customHeight="false" outlineLevel="0" collapsed="false">
      <c r="A6" s="9" t="s">
        <v>88</v>
      </c>
      <c r="B6" s="24" t="n">
        <v>320000</v>
      </c>
      <c r="C6" s="24" t="n">
        <v>280000</v>
      </c>
      <c r="D6" s="24" t="n">
        <v>260000</v>
      </c>
      <c r="E6" s="24" t="n">
        <v>240000</v>
      </c>
    </row>
    <row r="7" customFormat="false" ht="15" hidden="false" customHeight="false" outlineLevel="0" collapsed="false">
      <c r="A7" s="9" t="s">
        <v>89</v>
      </c>
      <c r="B7" s="24" t="n">
        <v>7500</v>
      </c>
      <c r="C7" s="24" t="n">
        <v>6000</v>
      </c>
      <c r="D7" s="24" t="n">
        <v>5500</v>
      </c>
      <c r="E7" s="24" t="n">
        <v>5000</v>
      </c>
    </row>
    <row r="8" customFormat="false" ht="15" hidden="false" customHeight="false" outlineLevel="0" collapsed="false">
      <c r="A8" s="9" t="s">
        <v>90</v>
      </c>
      <c r="B8" s="24" t="n">
        <v>2000</v>
      </c>
      <c r="C8" s="24" t="n">
        <v>2000</v>
      </c>
      <c r="D8" s="24" t="n">
        <v>2000</v>
      </c>
      <c r="E8" s="24" t="n">
        <v>2000</v>
      </c>
    </row>
    <row r="9" customFormat="false" ht="15" hidden="false" customHeight="false" outlineLevel="0" collapsed="false">
      <c r="A9" s="6" t="s">
        <v>91</v>
      </c>
      <c r="B9" s="24" t="n">
        <v>0</v>
      </c>
      <c r="C9" s="24" t="n">
        <v>0</v>
      </c>
      <c r="D9" s="24" t="n">
        <v>0</v>
      </c>
      <c r="E9" s="24" t="n">
        <v>0</v>
      </c>
    </row>
    <row r="10" customFormat="false" ht="17.15" hidden="false" customHeight="false" outlineLevel="0" collapsed="false">
      <c r="A10" s="11" t="s">
        <v>92</v>
      </c>
      <c r="B10" s="25" t="n">
        <f aca="false">SUM(B5:B9)</f>
        <v>389500</v>
      </c>
      <c r="C10" s="25" t="n">
        <f aca="false">SUM(C5:C9)</f>
        <v>343000</v>
      </c>
      <c r="D10" s="25" t="n">
        <f aca="false">SUM(D5:D9)</f>
        <v>317500</v>
      </c>
      <c r="E10" s="25" t="n">
        <f aca="false">SUM(E5:E9)</f>
        <v>292000</v>
      </c>
    </row>
    <row r="11" customFormat="false" ht="17.15" hidden="false" customHeight="false" outlineLevel="0" collapsed="false">
      <c r="A11" s="11" t="s">
        <v>93</v>
      </c>
      <c r="B11" s="25" t="n">
        <f aca="false">B10*12</f>
        <v>4674000</v>
      </c>
      <c r="C11" s="25" t="n">
        <f aca="false">C10*12</f>
        <v>4116000</v>
      </c>
      <c r="D11" s="25" t="n">
        <f aca="false">D10*12</f>
        <v>3810000</v>
      </c>
      <c r="E11" s="25" t="n">
        <f aca="false">E10*12</f>
        <v>3504000</v>
      </c>
    </row>
    <row r="13" customFormat="false" ht="17.15" hidden="false" customHeight="false" outlineLevel="0" collapsed="false">
      <c r="A13" s="26" t="s">
        <v>94</v>
      </c>
      <c r="B13" s="22" t="s">
        <v>95</v>
      </c>
      <c r="C13" s="27" t="n">
        <f aca="false">C10-B10</f>
        <v>-46500</v>
      </c>
      <c r="D13" s="27" t="n">
        <f aca="false">D10-B10</f>
        <v>-72000</v>
      </c>
      <c r="E13" s="27" t="n">
        <f aca="false">E10-B10</f>
        <v>-97500</v>
      </c>
    </row>
    <row r="14" customFormat="false" ht="17.15" hidden="false" customHeight="false" outlineLevel="0" collapsed="false">
      <c r="A14" s="26" t="s">
        <v>96</v>
      </c>
      <c r="B14" s="22" t="s">
        <v>95</v>
      </c>
      <c r="C14" s="28" t="n">
        <f aca="false">(C10-B10)/B10</f>
        <v>-0.119383825417202</v>
      </c>
      <c r="D14" s="28" t="n">
        <f aca="false">(D10-B10)/B10</f>
        <v>-0.184852374839538</v>
      </c>
      <c r="E14" s="28" t="n">
        <f aca="false">(E10-B10)/B10</f>
        <v>-0.250320924261874</v>
      </c>
    </row>
    <row r="16" customFormat="false" ht="15" hidden="false" customHeight="false" outlineLevel="0" collapsed="false">
      <c r="A16" s="16" t="s">
        <v>97</v>
      </c>
    </row>
    <row r="17" customFormat="false" ht="15" hidden="false" customHeight="false" outlineLevel="0" collapsed="false">
      <c r="A17" s="29" t="s">
        <v>98</v>
      </c>
      <c r="B17" s="29"/>
      <c r="C17" s="29"/>
      <c r="D17" s="29"/>
      <c r="E17" s="29"/>
    </row>
    <row r="18" customFormat="false" ht="15" hidden="false" customHeight="false" outlineLevel="0" collapsed="false">
      <c r="A18" s="29" t="s">
        <v>99</v>
      </c>
      <c r="B18" s="29"/>
      <c r="C18" s="29"/>
      <c r="D18" s="29"/>
      <c r="E18" s="29"/>
    </row>
    <row r="19" customFormat="false" ht="15" hidden="false" customHeight="false" outlineLevel="0" collapsed="false">
      <c r="A19" s="29" t="s">
        <v>100</v>
      </c>
      <c r="B19" s="29"/>
      <c r="C19" s="29"/>
      <c r="D19" s="29"/>
      <c r="E19" s="29"/>
    </row>
    <row r="20" customFormat="false" ht="15" hidden="false" customHeight="false" outlineLevel="0" collapsed="false">
      <c r="A20" s="29" t="s">
        <v>101</v>
      </c>
      <c r="B20" s="29"/>
      <c r="C20" s="29"/>
      <c r="D20" s="29"/>
      <c r="E20" s="29"/>
    </row>
  </sheetData>
  <mergeCells count="6">
    <mergeCell ref="A1:E1"/>
    <mergeCell ref="A2:E2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21" t="s">
        <v>102</v>
      </c>
      <c r="B1" s="21"/>
    </row>
    <row r="3" customFormat="false" ht="21.75" hidden="false" customHeight="true" outlineLevel="0" collapsed="false">
      <c r="A3" s="30" t="s">
        <v>103</v>
      </c>
      <c r="B3" s="31" t="s">
        <v>104</v>
      </c>
    </row>
    <row r="4" customFormat="false" ht="79.5" hidden="false" customHeight="true" outlineLevel="0" collapsed="false">
      <c r="A4" s="30" t="s">
        <v>105</v>
      </c>
      <c r="B4" s="32" t="s">
        <v>106</v>
      </c>
    </row>
    <row r="6" customFormat="false" ht="99.75" hidden="false" customHeight="true" outlineLevel="0" collapsed="false">
      <c r="A6" s="30" t="s">
        <v>107</v>
      </c>
      <c r="B6" s="33" t="s">
        <v>108</v>
      </c>
    </row>
    <row r="7" customFormat="false" ht="69.75" hidden="false" customHeight="true" outlineLevel="0" collapsed="false">
      <c r="A7" s="30" t="s">
        <v>109</v>
      </c>
      <c r="B7" s="33" t="s">
        <v>110</v>
      </c>
    </row>
    <row r="9" customFormat="false" ht="79.5" hidden="false" customHeight="true" outlineLevel="0" collapsed="false">
      <c r="A9" s="30" t="s">
        <v>111</v>
      </c>
      <c r="B9" s="33" t="s">
        <v>112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2026-05-21T00:33:10Z</dcterms:created>
  <dc:creator>openpyxl</dc:creator>
  <dc:description/>
  <dc:language>en-US</dc:language>
  <cp:lastModifiedBy/>
  <dcterms:modified xsi:type="dcterms:W3CDTF">2026-05-21T00:33:10Z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